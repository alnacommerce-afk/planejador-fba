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'Planilha1'!$A$2:$O$2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rgb="FF232F3E"/>
      <sz val="11"/>
    </font>
    <font>
      <name val="Arial"/>
      <family val="2"/>
      <color rgb="FF879596"/>
      <sz val="11"/>
    </font>
    <font>
      <name val="Arial"/>
      <family val="2"/>
      <b val="1"/>
      <color rgb="FF008296"/>
      <sz val="11"/>
    </font>
    <font>
      <name val="Arial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33"/>
  <sheetViews>
    <sheetView tabSelected="1" workbookViewId="0">
      <selection activeCell="I36" sqref="I36"/>
    </sheetView>
  </sheetViews>
  <sheetFormatPr baseColWidth="8" defaultRowHeight="15"/>
  <cols>
    <col width="16" bestFit="1" customWidth="1" style="1" min="1" max="1"/>
    <col width="9.28515625" bestFit="1" customWidth="1" style="1" min="2" max="2"/>
    <col width="10.28515625" bestFit="1" customWidth="1" style="1" min="3" max="3"/>
    <col width="11.28515625" bestFit="1" customWidth="1" style="1" min="4" max="4"/>
    <col width="12.28515625" bestFit="1" customWidth="1" style="1" min="5" max="6"/>
    <col width="8.5703125" bestFit="1" customWidth="1" style="1" min="7" max="7"/>
    <col width="16.42578125" bestFit="1" customWidth="1" style="1" min="8" max="8"/>
    <col width="29.85546875" bestFit="1" customWidth="1" style="1" min="9" max="9"/>
    <col width="11.42578125" bestFit="1" customWidth="1" style="1" min="10" max="10"/>
    <col width="9.140625" customWidth="1" style="1" min="11" max="11"/>
    <col width="13.85546875" bestFit="1" customWidth="1" style="1" min="12" max="12"/>
    <col width="25.5703125" bestFit="1" customWidth="1" style="1" min="13" max="13"/>
    <col width="25.28515625" bestFit="1" customWidth="1" style="1" min="14" max="14"/>
    <col width="33.7109375" bestFit="1" customWidth="1" style="1" min="15" max="15"/>
    <col width="9.140625" customWidth="1" style="1" min="16" max="16384"/>
  </cols>
  <sheetData>
    <row r="2" ht="35.25" customHeight="1">
      <c r="A2" s="2" t="inlineStr">
        <is>
          <t>ASIN</t>
        </is>
      </c>
      <c r="B2" s="1" t="inlineStr">
        <is>
          <t>0-60</t>
        </is>
      </c>
      <c r="C2" s="1" t="inlineStr">
        <is>
          <t>61-90</t>
        </is>
      </c>
      <c r="D2" s="1" t="inlineStr">
        <is>
          <t>91-180</t>
        </is>
      </c>
      <c r="E2" s="1" t="inlineStr">
        <is>
          <t>181-330</t>
        </is>
      </c>
      <c r="F2" s="1" t="inlineStr">
        <is>
          <t>331-365</t>
        </is>
      </c>
      <c r="G2" s="1" t="n">
        <v>365</v>
      </c>
      <c r="H2" s="3" t="inlineStr">
        <is>
          <t>Disponível</t>
        </is>
      </c>
      <c r="I2" s="1" t="inlineStr">
        <is>
          <t>vendas nos ultimos 30 dias</t>
        </is>
      </c>
      <c r="J2" s="1" t="inlineStr">
        <is>
          <t>CURVA</t>
        </is>
      </c>
      <c r="L2" s="2" t="inlineStr">
        <is>
          <t>ASIN</t>
        </is>
      </c>
      <c r="M2" s="2" t="inlineStr">
        <is>
          <t>sku</t>
        </is>
      </c>
      <c r="N2" s="2" t="inlineStr">
        <is>
          <t>Curva da Assessoria</t>
        </is>
      </c>
      <c r="O2" s="2" t="inlineStr">
        <is>
          <t>Curva ABC análise do Claude</t>
        </is>
      </c>
    </row>
    <row r="3">
      <c r="A3" s="4" t="inlineStr">
        <is>
          <t>B0GXGP9CMF</t>
        </is>
      </c>
      <c r="B3" s="1" t="n">
        <v>0</v>
      </c>
      <c r="C3" s="1" t="n">
        <v>0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>
        <f>IFERROR(VLOOKUP(A3,L:N,3,0),"")</f>
        <v/>
      </c>
      <c r="L3" s="1" t="inlineStr">
        <is>
          <t>B0GW9K8BFW</t>
        </is>
      </c>
      <c r="M3" s="1" t="inlineStr">
        <is>
          <t>COLHER-MAD-30-1_FBA</t>
        </is>
      </c>
      <c r="N3" s="1" t="inlineStr">
        <is>
          <t>A</t>
        </is>
      </c>
      <c r="O3" s="1" t="inlineStr">
        <is>
          <t>A</t>
        </is>
      </c>
    </row>
    <row r="4">
      <c r="A4" s="4" t="inlineStr">
        <is>
          <t>B0GW16ZJ3Y</t>
        </is>
      </c>
      <c r="B4" s="1" t="n">
        <v>5</v>
      </c>
      <c r="C4" s="1" t="n">
        <v>2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</v>
      </c>
      <c r="I4" s="1" t="n">
        <v>17</v>
      </c>
      <c r="J4" s="1">
        <f>IFERROR(VLOOKUP(A4,L:N,3,0),"")</f>
        <v/>
      </c>
      <c r="L4" s="1" t="inlineStr">
        <is>
          <t>B0GV5M89QB</t>
        </is>
      </c>
      <c r="M4" s="1" t="inlineStr">
        <is>
          <t>COLHER-MAD-38-1_FBA</t>
        </is>
      </c>
      <c r="N4" s="1" t="inlineStr">
        <is>
          <t>A</t>
        </is>
      </c>
      <c r="O4" s="1" t="inlineStr">
        <is>
          <t>A</t>
        </is>
      </c>
    </row>
    <row r="5">
      <c r="A5" s="4" t="inlineStr">
        <is>
          <t>B0H1P38Y8Y</t>
        </is>
      </c>
      <c r="B5" s="1" t="n">
        <v>0</v>
      </c>
      <c r="C5" s="1" t="n">
        <v>0</v>
      </c>
      <c r="D5" s="1" t="n">
        <v>4</v>
      </c>
      <c r="E5" s="1" t="n">
        <v>0</v>
      </c>
      <c r="F5" s="1" t="n">
        <v>0</v>
      </c>
      <c r="G5" s="1" t="n">
        <v>0</v>
      </c>
      <c r="H5" s="1" t="n">
        <v>4</v>
      </c>
      <c r="I5" s="1" t="n">
        <v>0</v>
      </c>
      <c r="J5" s="1">
        <f>IFERROR(VLOOKUP(A5,L:N,3,0),"")</f>
        <v/>
      </c>
      <c r="L5" s="1" t="inlineStr">
        <is>
          <t>B0GW1B2W11</t>
        </is>
      </c>
      <c r="M5" s="1" t="inlineStr">
        <is>
          <t>ROL_MAS_M_FBA</t>
        </is>
      </c>
      <c r="N5" s="1" t="inlineStr">
        <is>
          <t>A</t>
        </is>
      </c>
      <c r="O5" s="1" t="inlineStr">
        <is>
          <t>C</t>
        </is>
      </c>
    </row>
    <row r="6">
      <c r="A6" s="4" t="inlineStr">
        <is>
          <t>B0H1STZBPJ</t>
        </is>
      </c>
      <c r="B6" s="1" t="n">
        <v>0</v>
      </c>
      <c r="C6" s="1" t="n">
        <v>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5</v>
      </c>
      <c r="I6" s="1" t="n">
        <v>0</v>
      </c>
      <c r="J6" s="1">
        <f>IFERROR(VLOOKUP(A6,L:N,3,0),"")</f>
        <v/>
      </c>
      <c r="L6" s="1" t="inlineStr">
        <is>
          <t>B0GW16ZJ3Y</t>
        </is>
      </c>
      <c r="M6" s="1" t="inlineStr">
        <is>
          <t>ROL_MAS_P_FBA</t>
        </is>
      </c>
      <c r="N6" s="1" t="inlineStr">
        <is>
          <t>A</t>
        </is>
      </c>
      <c r="O6" s="1" t="inlineStr">
        <is>
          <t>A</t>
        </is>
      </c>
    </row>
    <row r="7">
      <c r="A7" s="4" t="inlineStr">
        <is>
          <t>B0GXGZHMMN</t>
        </is>
      </c>
      <c r="B7" s="1" t="n">
        <v>5</v>
      </c>
      <c r="C7" s="1" t="n">
        <v>1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5</v>
      </c>
      <c r="I7" s="1" t="n">
        <v>3</v>
      </c>
      <c r="J7" s="1">
        <f>IFERROR(VLOOKUP(A7,L:N,3,0),"")</f>
        <v/>
      </c>
      <c r="L7" s="1" t="inlineStr">
        <is>
          <t>B0GW9KS8PV</t>
        </is>
      </c>
      <c r="M7" s="1" t="inlineStr">
        <is>
          <t>COLHER-MAD-26-1_FBA</t>
        </is>
      </c>
      <c r="N7" s="1" t="inlineStr">
        <is>
          <t>B</t>
        </is>
      </c>
      <c r="O7" s="1" t="inlineStr">
        <is>
          <t>C</t>
        </is>
      </c>
    </row>
    <row r="8">
      <c r="A8" s="4" t="inlineStr">
        <is>
          <t>B0GXGYTZJB</t>
        </is>
      </c>
      <c r="B8" s="1" t="n">
        <v>0</v>
      </c>
      <c r="C8" s="1" t="n">
        <v>5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5</v>
      </c>
      <c r="I8" s="1" t="n">
        <v>0</v>
      </c>
      <c r="J8" s="1">
        <f>IFERROR(VLOOKUP(A8,L:N,3,0),"")</f>
        <v/>
      </c>
      <c r="L8" s="1" t="inlineStr">
        <is>
          <t>B0H1MXYGWT</t>
        </is>
      </c>
      <c r="M8" s="1" t="inlineStr">
        <is>
          <t>COLHER-MAD-26-5_FBA</t>
        </is>
      </c>
      <c r="N8" s="1" t="inlineStr">
        <is>
          <t>B</t>
        </is>
      </c>
      <c r="O8" s="1" t="inlineStr">
        <is>
          <t>B</t>
        </is>
      </c>
    </row>
    <row r="9">
      <c r="A9" s="4" t="inlineStr">
        <is>
          <t>B0HHJZ4PHZ</t>
        </is>
      </c>
      <c r="B9" s="1" t="n">
        <v>5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5</v>
      </c>
      <c r="I9" s="1" t="n">
        <v>0</v>
      </c>
      <c r="J9" s="1">
        <f>IFERROR(VLOOKUP(A9,L:N,3,0),"")</f>
        <v/>
      </c>
      <c r="L9" s="1" t="inlineStr">
        <is>
          <t>B0H1N3NWC6</t>
        </is>
      </c>
      <c r="M9" s="1" t="inlineStr">
        <is>
          <t>COLHER-MAD-30-5_FBA</t>
        </is>
      </c>
      <c r="N9" s="1" t="inlineStr">
        <is>
          <t>B</t>
        </is>
      </c>
      <c r="O9" s="1" t="inlineStr">
        <is>
          <t>A</t>
        </is>
      </c>
    </row>
    <row r="10">
      <c r="A10" s="4" t="inlineStr">
        <is>
          <t>B0HBFCCN6Y</t>
        </is>
      </c>
      <c r="B10" s="1" t="n">
        <v>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5</v>
      </c>
      <c r="I10" s="1" t="n">
        <v>0</v>
      </c>
      <c r="J10" s="1">
        <f>IFERROR(VLOOKUP(A10,L:N,3,0),"")</f>
        <v/>
      </c>
      <c r="L10" s="1" t="inlineStr">
        <is>
          <t>B0H1N71MTD</t>
        </is>
      </c>
      <c r="M10" s="5" t="inlineStr">
        <is>
          <t>COLHER-MAD-38-5_FBA</t>
        </is>
      </c>
      <c r="N10" s="1" t="inlineStr">
        <is>
          <t>B</t>
        </is>
      </c>
      <c r="O10" s="1" t="inlineStr">
        <is>
          <t>C</t>
        </is>
      </c>
    </row>
    <row r="11">
      <c r="A11" s="4" t="inlineStr">
        <is>
          <t>B0HHJZF6HR</t>
        </is>
      </c>
      <c r="B11" s="1" t="n">
        <v>5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5</v>
      </c>
      <c r="I11" s="1" t="n">
        <v>0</v>
      </c>
      <c r="J11" s="1">
        <f>IFERROR(VLOOKUP(A11,L:N,3,0),"")</f>
        <v/>
      </c>
      <c r="L11" s="1" t="inlineStr">
        <is>
          <t>B0H1MWJ85Q</t>
        </is>
      </c>
      <c r="M11" s="6" t="inlineStr">
        <is>
          <t>KIT_ROL_FBA</t>
        </is>
      </c>
      <c r="N11" s="1" t="inlineStr">
        <is>
          <t>B</t>
        </is>
      </c>
      <c r="O11" s="1" t="inlineStr">
        <is>
          <t>C</t>
        </is>
      </c>
    </row>
    <row r="12">
      <c r="A12" s="4" t="inlineStr">
        <is>
          <t>B0GXGNPF5N</t>
        </is>
      </c>
      <c r="B12" s="1" t="n">
        <v>6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6</v>
      </c>
      <c r="I12" s="1" t="n">
        <v>0</v>
      </c>
      <c r="J12" s="1">
        <f>IFERROR(VLOOKUP(A12,L:N,3,0),"")</f>
        <v/>
      </c>
      <c r="L12" s="1" t="inlineStr">
        <is>
          <t>B0GXGWGTYT</t>
        </is>
      </c>
      <c r="M12" s="5" t="inlineStr">
        <is>
          <t>MESA_DOB_FBA</t>
        </is>
      </c>
      <c r="N12" s="1" t="inlineStr">
        <is>
          <t>B</t>
        </is>
      </c>
      <c r="O12" s="1" t="inlineStr">
        <is>
          <t>C</t>
        </is>
      </c>
    </row>
    <row r="13">
      <c r="A13" s="4" t="inlineStr">
        <is>
          <t>B0GXXRDMS1</t>
        </is>
      </c>
      <c r="B13" s="1" t="n">
        <v>0</v>
      </c>
      <c r="C13" s="1" t="n">
        <v>0</v>
      </c>
      <c r="D13" s="1" t="n">
        <v>7</v>
      </c>
      <c r="E13" s="1" t="n">
        <v>0</v>
      </c>
      <c r="F13" s="1" t="n">
        <v>0</v>
      </c>
      <c r="G13" s="1" t="n">
        <v>0</v>
      </c>
      <c r="H13" s="1" t="n">
        <v>7</v>
      </c>
      <c r="I13" s="1" t="n">
        <v>0</v>
      </c>
      <c r="J13" s="1">
        <f>IFERROR(VLOOKUP(A13,L:N,3,0),"")</f>
        <v/>
      </c>
      <c r="L13" s="1" t="inlineStr">
        <is>
          <t>B0GXGMPLTS</t>
        </is>
      </c>
      <c r="M13" s="5" t="inlineStr">
        <is>
          <t>PILAO_M_FBA</t>
        </is>
      </c>
      <c r="N13" s="1" t="inlineStr">
        <is>
          <t>B</t>
        </is>
      </c>
      <c r="O13" s="1" t="inlineStr">
        <is>
          <t>C</t>
        </is>
      </c>
    </row>
    <row r="14">
      <c r="A14" s="4" t="inlineStr">
        <is>
          <t>B0H1N9FKZY</t>
        </is>
      </c>
      <c r="B14" s="1" t="n">
        <v>0</v>
      </c>
      <c r="C14" s="1" t="n">
        <v>5</v>
      </c>
      <c r="D14" s="1" t="n">
        <v>3</v>
      </c>
      <c r="E14" s="1" t="n">
        <v>0</v>
      </c>
      <c r="F14" s="1" t="n">
        <v>0</v>
      </c>
      <c r="G14" s="1" t="n">
        <v>0</v>
      </c>
      <c r="H14" s="1" t="n">
        <v>8</v>
      </c>
      <c r="I14" s="1" t="n">
        <v>1</v>
      </c>
      <c r="J14" s="1">
        <f>IFERROR(VLOOKUP(A14,L:N,3,0),"")</f>
        <v/>
      </c>
      <c r="L14" s="1" t="inlineStr">
        <is>
          <t>B0GZCTP3V2</t>
        </is>
      </c>
      <c r="M14" s="5" t="inlineStr">
        <is>
          <t>MEI-TERM-12_FBA</t>
        </is>
      </c>
      <c r="N14" s="1" t="inlineStr">
        <is>
          <t>C</t>
        </is>
      </c>
      <c r="O14" s="1" t="inlineStr">
        <is>
          <t>C</t>
        </is>
      </c>
    </row>
    <row r="15">
      <c r="A15" s="4" t="inlineStr">
        <is>
          <t>B0H1SZBJRR</t>
        </is>
      </c>
      <c r="B15" s="1" t="n">
        <v>0</v>
      </c>
      <c r="C15" s="1" t="n">
        <v>5</v>
      </c>
      <c r="D15" s="1" t="n">
        <v>4</v>
      </c>
      <c r="E15" s="1" t="n">
        <v>0</v>
      </c>
      <c r="F15" s="1" t="n">
        <v>0</v>
      </c>
      <c r="G15" s="1" t="n">
        <v>0</v>
      </c>
      <c r="H15" s="1" t="n">
        <v>9</v>
      </c>
      <c r="I15" s="1" t="n">
        <v>0</v>
      </c>
      <c r="J15" s="1">
        <f>IFERROR(VLOOKUP(A15,L:N,3,0),"")</f>
        <v/>
      </c>
      <c r="L15" s="1" t="inlineStr">
        <is>
          <t>B0GXGZHMMN</t>
        </is>
      </c>
      <c r="M15" s="5" t="inlineStr">
        <is>
          <t>PILAO_G_FBA</t>
        </is>
      </c>
      <c r="N15" s="1" t="inlineStr">
        <is>
          <t>C</t>
        </is>
      </c>
      <c r="O15" s="1" t="inlineStr">
        <is>
          <t>B</t>
        </is>
      </c>
    </row>
    <row r="16">
      <c r="A16" s="4" t="inlineStr">
        <is>
          <t>B0H2WY3HG8</t>
        </is>
      </c>
      <c r="B16" s="1" t="n">
        <v>0</v>
      </c>
      <c r="C16" s="1" t="n">
        <v>5</v>
      </c>
      <c r="D16" s="1" t="n">
        <v>4</v>
      </c>
      <c r="E16" s="1" t="n">
        <v>0</v>
      </c>
      <c r="F16" s="1" t="n">
        <v>0</v>
      </c>
      <c r="G16" s="1" t="n">
        <v>0</v>
      </c>
      <c r="H16" s="1" t="n">
        <v>9</v>
      </c>
      <c r="I16" s="1" t="n">
        <v>0</v>
      </c>
      <c r="J16" s="1">
        <f>IFERROR(VLOOKUP(A16,L:N,3,0),"")</f>
        <v/>
      </c>
      <c r="L16" s="1" t="inlineStr">
        <is>
          <t>B0GXGNPF5N</t>
        </is>
      </c>
      <c r="M16" s="1" t="inlineStr">
        <is>
          <t>PILAO_P_FBA</t>
        </is>
      </c>
      <c r="N16" s="1" t="inlineStr">
        <is>
          <t>C</t>
        </is>
      </c>
      <c r="O16" s="1" t="inlineStr">
        <is>
          <t>C</t>
        </is>
      </c>
    </row>
    <row r="17">
      <c r="A17" s="4" t="inlineStr">
        <is>
          <t>B0H1P9YQX7</t>
        </is>
      </c>
      <c r="B17" s="1" t="n">
        <v>0</v>
      </c>
      <c r="C17" s="1" t="n">
        <v>5</v>
      </c>
      <c r="D17" s="1" t="n">
        <v>4</v>
      </c>
      <c r="E17" s="1" t="n">
        <v>0</v>
      </c>
      <c r="F17" s="1" t="n">
        <v>0</v>
      </c>
      <c r="G17" s="1" t="n">
        <v>0</v>
      </c>
      <c r="H17" s="1" t="n">
        <v>9</v>
      </c>
      <c r="I17" s="1" t="n">
        <v>0</v>
      </c>
      <c r="J17" s="1">
        <f>IFERROR(VLOOKUP(A17,L:N,3,0),"")</f>
        <v/>
      </c>
      <c r="L17" s="1" t="inlineStr">
        <is>
          <t>B0GXGPH3Z6</t>
        </is>
      </c>
      <c r="M17" s="1" t="inlineStr">
        <is>
          <t>PRATO_M_1_FBA</t>
        </is>
      </c>
      <c r="N17" s="1" t="inlineStr">
        <is>
          <t>C</t>
        </is>
      </c>
      <c r="O17" s="1" t="inlineStr">
        <is>
          <t>C</t>
        </is>
      </c>
    </row>
    <row r="18">
      <c r="A18" s="4" t="inlineStr">
        <is>
          <t>B0H1MWJ85Q</t>
        </is>
      </c>
      <c r="B18" s="1" t="n">
        <v>10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10</v>
      </c>
      <c r="I18" s="1" t="n">
        <v>0</v>
      </c>
      <c r="J18" s="1">
        <f>IFERROR(VLOOKUP(A18,L:N,3,0),"")</f>
        <v/>
      </c>
      <c r="L18" s="1" t="inlineStr">
        <is>
          <t>B0H1N9FKZY</t>
        </is>
      </c>
      <c r="M18" s="1" t="inlineStr">
        <is>
          <t>TAB_COR_G_2_FBA</t>
        </is>
      </c>
      <c r="N18" s="1" t="inlineStr">
        <is>
          <t>C</t>
        </is>
      </c>
      <c r="O18" s="1" t="inlineStr">
        <is>
          <t>C</t>
        </is>
      </c>
    </row>
    <row r="19">
      <c r="A19" s="4" t="inlineStr">
        <is>
          <t>B0GXGPH3Z6</t>
        </is>
      </c>
      <c r="B19" s="1" t="n">
        <v>10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10</v>
      </c>
      <c r="I19" s="1" t="n">
        <v>0</v>
      </c>
      <c r="J19" s="1">
        <f>IFERROR(VLOOKUP(A19,L:N,3,0),"")</f>
        <v/>
      </c>
      <c r="L19" s="1" t="inlineStr">
        <is>
          <t>B0GXGTRJWC</t>
        </is>
      </c>
      <c r="M19" s="1" t="inlineStr">
        <is>
          <t>TAB_COR_M_FBA</t>
        </is>
      </c>
      <c r="N19" s="1" t="inlineStr">
        <is>
          <t>C</t>
        </is>
      </c>
      <c r="O19" s="1" t="inlineStr">
        <is>
          <t>B</t>
        </is>
      </c>
    </row>
    <row r="20">
      <c r="A20" s="4" t="inlineStr">
        <is>
          <t>B0H1PGND8W</t>
        </is>
      </c>
      <c r="B20" s="1" t="n">
        <v>0</v>
      </c>
      <c r="C20" s="1" t="n">
        <v>10</v>
      </c>
      <c r="D20" s="1" t="n">
        <v>4</v>
      </c>
      <c r="E20" s="1" t="n">
        <v>0</v>
      </c>
      <c r="F20" s="1" t="n">
        <v>0</v>
      </c>
      <c r="G20" s="1" t="n">
        <v>0</v>
      </c>
      <c r="H20" s="1" t="n">
        <v>14</v>
      </c>
      <c r="I20" s="1" t="n">
        <v>0</v>
      </c>
      <c r="J20" s="1">
        <f>IFERROR(VLOOKUP(A20,L:N,3,0),"")</f>
        <v/>
      </c>
      <c r="L20" s="1" t="inlineStr">
        <is>
          <t>B0H1PGND8W</t>
        </is>
      </c>
      <c r="M20" s="1" t="inlineStr">
        <is>
          <t>KIT_TAB_COR_1_FBA</t>
        </is>
      </c>
      <c r="O20" s="1" t="inlineStr">
        <is>
          <t>C</t>
        </is>
      </c>
    </row>
    <row r="21">
      <c r="A21" s="4" t="inlineStr">
        <is>
          <t>B0GXGMPLTS</t>
        </is>
      </c>
      <c r="B21" s="1" t="n">
        <v>20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20</v>
      </c>
      <c r="I21" s="1" t="n">
        <v>1</v>
      </c>
      <c r="J21" s="1">
        <f>IFERROR(VLOOKUP(A21,L:N,3,0),"")</f>
        <v/>
      </c>
      <c r="L21" s="1" t="inlineStr">
        <is>
          <t>B0H1STZBPJ</t>
        </is>
      </c>
      <c r="M21" s="1" t="inlineStr">
        <is>
          <t>PILAO_G_2_FBA</t>
        </is>
      </c>
      <c r="O21" s="1" t="inlineStr">
        <is>
          <t>C</t>
        </is>
      </c>
    </row>
    <row r="22">
      <c r="A22" s="4" t="inlineStr">
        <is>
          <t>B0GXH1JX31</t>
        </is>
      </c>
      <c r="B22" s="1" t="n">
        <v>20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20</v>
      </c>
      <c r="I22" s="1" t="n">
        <v>0</v>
      </c>
      <c r="J22" s="1">
        <f>IFERROR(VLOOKUP(A22,L:N,3,0),"")</f>
        <v/>
      </c>
      <c r="L22" s="1" t="inlineStr">
        <is>
          <t>B0H1SZBJRR</t>
        </is>
      </c>
      <c r="M22" s="1" t="inlineStr">
        <is>
          <t>PILAO_M_2_FBA</t>
        </is>
      </c>
      <c r="O22" s="1" t="inlineStr">
        <is>
          <t>C</t>
        </is>
      </c>
    </row>
    <row r="23">
      <c r="A23" s="4" t="inlineStr">
        <is>
          <t>B0GXGKJR1D</t>
        </is>
      </c>
      <c r="B23" s="1" t="n">
        <v>20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20</v>
      </c>
      <c r="I23" s="1" t="n">
        <v>0</v>
      </c>
      <c r="J23" s="1">
        <f>IFERROR(VLOOKUP(A23,L:N,3,0),"")</f>
        <v/>
      </c>
      <c r="L23" s="1" t="inlineStr">
        <is>
          <t>B0H2WY3HG8</t>
        </is>
      </c>
      <c r="M23" s="1" t="inlineStr">
        <is>
          <t>PILAO_P_2_FBA</t>
        </is>
      </c>
      <c r="O23" s="1" t="inlineStr">
        <is>
          <t>C</t>
        </is>
      </c>
    </row>
    <row r="24">
      <c r="A24" s="4" t="inlineStr">
        <is>
          <t>B0GW9K8BFW</t>
        </is>
      </c>
      <c r="B24" s="1" t="n">
        <v>38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32</v>
      </c>
      <c r="I24" s="1" t="n">
        <v>15</v>
      </c>
      <c r="J24" s="1">
        <f>IFERROR(VLOOKUP(A24,L:N,3,0),"")</f>
        <v/>
      </c>
      <c r="L24" s="1" t="inlineStr">
        <is>
          <t>B0GXGP9CMF</t>
        </is>
      </c>
      <c r="M24" s="1" t="inlineStr">
        <is>
          <t>PRATO_G_1_FBA</t>
        </is>
      </c>
      <c r="O24" s="1" t="inlineStr">
        <is>
          <t>C</t>
        </is>
      </c>
    </row>
    <row r="25">
      <c r="A25" s="4" t="inlineStr">
        <is>
          <t>B0GXGTRJWC</t>
        </is>
      </c>
      <c r="B25" s="1" t="n">
        <v>0</v>
      </c>
      <c r="C25" s="1" t="n">
        <v>35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35</v>
      </c>
      <c r="I25" s="1" t="n">
        <v>3</v>
      </c>
      <c r="J25" s="1">
        <f>IFERROR(VLOOKUP(A25,L:N,3,0),"")</f>
        <v/>
      </c>
      <c r="L25" s="1" t="inlineStr">
        <is>
          <t>B0GXH1JX31</t>
        </is>
      </c>
      <c r="M25" s="1" t="inlineStr">
        <is>
          <t>PRATO_P_1_FBA</t>
        </is>
      </c>
      <c r="O25" s="1" t="inlineStr">
        <is>
          <t>C</t>
        </is>
      </c>
    </row>
    <row r="26">
      <c r="A26" s="4" t="inlineStr">
        <is>
          <t>B0H1N3NWC6</t>
        </is>
      </c>
      <c r="B26" s="1" t="n">
        <v>0</v>
      </c>
      <c r="C26" s="1" t="n">
        <v>38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36</v>
      </c>
      <c r="I26" s="1" t="n">
        <v>6</v>
      </c>
      <c r="J26" s="1">
        <f>IFERROR(VLOOKUP(A26,L:N,3,0),"")</f>
        <v/>
      </c>
      <c r="L26" s="1" t="inlineStr">
        <is>
          <t>B0GXGYTZJB</t>
        </is>
      </c>
      <c r="M26" s="1" t="inlineStr">
        <is>
          <t>TAB_COR_G_FBA</t>
        </is>
      </c>
      <c r="O26" s="1" t="inlineStr">
        <is>
          <t>C</t>
        </is>
      </c>
    </row>
    <row r="27">
      <c r="A27" s="4" t="inlineStr">
        <is>
          <t>B0GXGWGTYT</t>
        </is>
      </c>
      <c r="B27" s="1" t="n">
        <v>0</v>
      </c>
      <c r="C27" s="1" t="n">
        <v>42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42</v>
      </c>
      <c r="I27" s="1" t="n">
        <v>0</v>
      </c>
      <c r="J27" s="1">
        <f>IFERROR(VLOOKUP(A27,L:N,3,0),"")</f>
        <v/>
      </c>
      <c r="L27" s="1" t="inlineStr">
        <is>
          <t>B0H1P9YQX7</t>
        </is>
      </c>
      <c r="M27" s="1" t="inlineStr">
        <is>
          <t>TAB_COR_M_2_FBA</t>
        </is>
      </c>
      <c r="O27" s="1" t="inlineStr">
        <is>
          <t>C</t>
        </is>
      </c>
    </row>
    <row r="28">
      <c r="A28" s="4" t="inlineStr">
        <is>
          <t>B0H1MXYGWT</t>
        </is>
      </c>
      <c r="B28" s="1" t="n">
        <v>0</v>
      </c>
      <c r="C28" s="1" t="n">
        <v>44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44</v>
      </c>
      <c r="I28" s="1" t="n">
        <v>3</v>
      </c>
      <c r="J28" s="1">
        <f>IFERROR(VLOOKUP(A28,L:N,3,0),"")</f>
        <v/>
      </c>
      <c r="L28" s="1" t="inlineStr">
        <is>
          <t>B0H1P38Y8Y</t>
        </is>
      </c>
      <c r="M28" s="1" t="inlineStr">
        <is>
          <t>TAB_COR_P_2_FBA</t>
        </is>
      </c>
      <c r="O28" s="1" t="inlineStr">
        <is>
          <t>C</t>
        </is>
      </c>
    </row>
    <row r="29">
      <c r="A29" s="4" t="inlineStr">
        <is>
          <t>B0H1N71MTD</t>
        </is>
      </c>
      <c r="B29" s="1" t="n">
        <v>0</v>
      </c>
      <c r="C29" s="1" t="n">
        <v>47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47</v>
      </c>
      <c r="I29" s="1" t="n">
        <v>1</v>
      </c>
      <c r="J29" s="1">
        <f>IFERROR(VLOOKUP(A29,L:N,3,0),"")</f>
        <v/>
      </c>
      <c r="L29" s="1" t="inlineStr">
        <is>
          <t>B0GXGKJR1D</t>
        </is>
      </c>
      <c r="M29" s="1" t="inlineStr">
        <is>
          <t>TAB_COR_P_FBA</t>
        </is>
      </c>
      <c r="O29" s="1" t="inlineStr">
        <is>
          <t>C</t>
        </is>
      </c>
    </row>
    <row r="30">
      <c r="A30" s="4" t="inlineStr">
        <is>
          <t>B0GV5M89QB</t>
        </is>
      </c>
      <c r="B30" s="1" t="n">
        <v>2</v>
      </c>
      <c r="C30" s="1" t="n">
        <v>70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62</v>
      </c>
      <c r="I30" s="1" t="n">
        <v>39</v>
      </c>
      <c r="J30" s="1">
        <f>IFERROR(VLOOKUP(A30,L:N,3,0),"")</f>
        <v/>
      </c>
      <c r="L30" s="1" t="inlineStr">
        <is>
          <t>B0GXXRDMS1</t>
        </is>
      </c>
      <c r="M30" s="1" t="inlineStr">
        <is>
          <t>TOA_BAN_DOU_FBA</t>
        </is>
      </c>
      <c r="O30" s="1" t="inlineStr">
        <is>
          <t>C</t>
        </is>
      </c>
    </row>
    <row r="31">
      <c r="A31" s="4" t="inlineStr">
        <is>
          <t>B0GW1B2W11</t>
        </is>
      </c>
      <c r="B31" s="1" t="n">
        <v>0</v>
      </c>
      <c r="C31" s="1" t="n">
        <v>75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72</v>
      </c>
      <c r="I31" s="1" t="n">
        <v>0</v>
      </c>
      <c r="J31" s="1">
        <f>IFERROR(VLOOKUP(A31,L:N,3,0),"")</f>
        <v/>
      </c>
      <c r="L31" s="1" t="inlineStr">
        <is>
          <t>B0HHJZ4PHZ</t>
        </is>
      </c>
      <c r="M31" s="1" t="inlineStr">
        <is>
          <t>TOA_BAN_ROS_2_FBA</t>
        </is>
      </c>
      <c r="O31" s="1" t="inlineStr">
        <is>
          <t>C</t>
        </is>
      </c>
    </row>
    <row r="32">
      <c r="A32" s="4" t="inlineStr">
        <is>
          <t>B0GW9KS8PV</t>
        </is>
      </c>
      <c r="B32" s="1" t="n">
        <v>0</v>
      </c>
      <c r="C32" s="1" t="n">
        <v>92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91</v>
      </c>
      <c r="I32" s="1" t="n">
        <v>1</v>
      </c>
      <c r="J32" s="1">
        <f>IFERROR(VLOOKUP(A32,L:N,3,0),"")</f>
        <v/>
      </c>
      <c r="L32" s="1" t="inlineStr">
        <is>
          <t>B0HBFCCN6Y</t>
        </is>
      </c>
      <c r="M32" s="1" t="inlineStr">
        <is>
          <t>TOA_COLORE_1_FBA</t>
        </is>
      </c>
      <c r="O32" s="1" t="inlineStr">
        <is>
          <t>C</t>
        </is>
      </c>
    </row>
    <row r="33">
      <c r="A33" s="4" t="inlineStr">
        <is>
          <t>B0GZCTP3V2</t>
        </is>
      </c>
      <c r="B33" s="1" t="n">
        <v>0</v>
      </c>
      <c r="C33" s="1" t="n">
        <v>98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98</v>
      </c>
      <c r="I33" s="1" t="n">
        <v>0</v>
      </c>
      <c r="J33" s="1">
        <f>IFERROR(VLOOKUP(A33,L:N,3,0),"")</f>
        <v/>
      </c>
      <c r="L33" s="1" t="inlineStr">
        <is>
          <t>B0HHJZF6HR</t>
        </is>
      </c>
      <c r="M33" s="1" t="inlineStr">
        <is>
          <t>TOA_RUBI_2_FBA</t>
        </is>
      </c>
      <c r="O33" s="1" t="inlineStr">
        <is>
          <t>C</t>
        </is>
      </c>
    </row>
  </sheetData>
  <autoFilter ref="A2:O2"/>
  <pageMargins left="0.511811024" right="0.511811024" top="0.787401575" bottom="0.787401575" header="0.31496062" footer="0.31496062"/>
  <pageSetup orientation="portrait" paperSize="25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Santos</dc:creator>
  <dcterms:created xsi:type="dcterms:W3CDTF">2026-10-01T14:10:39Z</dcterms:created>
  <dcterms:modified xsi:type="dcterms:W3CDTF">2026-10-16T19:19:01Z</dcterms:modified>
  <cp:lastModifiedBy>Alexander Santos</cp:lastModifiedBy>
</cp:coreProperties>
</file>