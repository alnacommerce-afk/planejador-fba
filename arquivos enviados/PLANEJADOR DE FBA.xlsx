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840" tabRatio="600" firstSheet="0" activeTab="0" autoFilterDateGrouping="1"/>
  </bookViews>
  <sheets>
    <sheet name="Planilha1" sheetId="1" state="visible" r:id="rId1"/>
  </sheets>
  <definedNames>
    <definedName name="_xlnm._FilterDatabase" localSheetId="0" hidden="1">'Planilha1'!$A$2:$I$2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5">
    <font>
      <name val="Aptos Narrow"/>
      <family val="2"/>
      <color theme="1"/>
      <sz val="11"/>
      <scheme val="minor"/>
    </font>
    <font>
      <name val="Arial"/>
      <family val="2"/>
      <color rgb="FF232F3E"/>
      <sz val="11"/>
    </font>
    <font>
      <name val="Arial"/>
      <family val="2"/>
      <color rgb="FF879596"/>
      <sz val="11"/>
    </font>
    <font>
      <name val="Arial"/>
      <family val="2"/>
      <b val="1"/>
      <color rgb="FF008296"/>
      <sz val="11"/>
    </font>
    <font>
      <name val="Arial"/>
      <family val="2"/>
      <color rgb="FF000000"/>
      <sz val="1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horizontal="center"/>
    </xf>
    <xf numFmtId="0" fontId="3" fillId="0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N39"/>
  <sheetViews>
    <sheetView tabSelected="1" topLeftCell="A2" workbookViewId="0">
      <selection activeCell="A5" sqref="A5"/>
    </sheetView>
  </sheetViews>
  <sheetFormatPr baseColWidth="8" defaultRowHeight="15"/>
  <cols>
    <col width="23.5703125" customWidth="1" min="1" max="1"/>
    <col width="12.85546875" customWidth="1" style="3" min="2" max="7"/>
    <col width="14.140625" bestFit="1" customWidth="1" min="8" max="8"/>
    <col width="30.5703125" bestFit="1" customWidth="1" min="9" max="9"/>
    <col width="15.85546875" customWidth="1" min="12" max="12"/>
    <col width="25.5703125" bestFit="1" customWidth="1" min="13" max="13"/>
    <col width="10" customWidth="1" min="14" max="14"/>
  </cols>
  <sheetData>
    <row r="2">
      <c r="A2" s="2" t="inlineStr">
        <is>
          <t>ASIN</t>
        </is>
      </c>
      <c r="B2" s="3" t="inlineStr">
        <is>
          <t>0-60</t>
        </is>
      </c>
      <c r="C2" s="3" t="inlineStr">
        <is>
          <t>61-90</t>
        </is>
      </c>
      <c r="D2" s="3" t="inlineStr">
        <is>
          <t>91-180</t>
        </is>
      </c>
      <c r="E2" s="3" t="inlineStr">
        <is>
          <t>181-330</t>
        </is>
      </c>
      <c r="F2" s="3" t="inlineStr">
        <is>
          <t>331-365</t>
        </is>
      </c>
      <c r="G2" s="3" t="n">
        <v>365</v>
      </c>
      <c r="H2" s="4" t="inlineStr">
        <is>
          <t>Disponível</t>
        </is>
      </c>
      <c r="I2" s="3" t="inlineStr">
        <is>
          <t>vendas nos ultimos 30 dias</t>
        </is>
      </c>
      <c r="J2" s="3" t="inlineStr">
        <is>
          <t>CURVA</t>
        </is>
      </c>
    </row>
    <row r="3">
      <c r="A3" s="1" t="inlineStr">
        <is>
          <t>B0GXGMPLTS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13</v>
      </c>
      <c r="J3">
        <f>IFERROR(VLOOKUP(A3,L:N,3,0),"")</f>
        <v/>
      </c>
      <c r="L3" t="inlineStr">
        <is>
          <t>ASIN</t>
        </is>
      </c>
      <c r="M3" t="inlineStr">
        <is>
          <t>sku</t>
        </is>
      </c>
      <c r="N3" t="inlineStr">
        <is>
          <t xml:space="preserve">Curva </t>
        </is>
      </c>
    </row>
    <row r="4">
      <c r="A4" s="1" t="inlineStr">
        <is>
          <t>B0HHJZF6HR</t>
        </is>
      </c>
      <c r="B4" s="3" t="n">
        <v>0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3" t="n">
        <v>0</v>
      </c>
      <c r="J4">
        <f>IFERROR(VLOOKUP(A4,L:N,3,0),"")</f>
        <v/>
      </c>
      <c r="L4" t="inlineStr">
        <is>
          <t>B0GW9K8BFW</t>
        </is>
      </c>
      <c r="M4" t="inlineStr">
        <is>
          <t>COLHER-MAD-30-1_FBA</t>
        </is>
      </c>
      <c r="N4" t="inlineStr">
        <is>
          <t>A</t>
        </is>
      </c>
    </row>
    <row r="5">
      <c r="A5" s="1" t="inlineStr">
        <is>
          <t>B0GXGZHMMN</t>
        </is>
      </c>
      <c r="B5" s="3" t="n">
        <v>2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2</v>
      </c>
      <c r="I5" s="3" t="n">
        <v>2</v>
      </c>
      <c r="J5">
        <f>IFERROR(VLOOKUP(A5,L:N,3,0),"")</f>
        <v/>
      </c>
      <c r="L5" t="inlineStr">
        <is>
          <t>B0GV5M89QB</t>
        </is>
      </c>
      <c r="M5" t="inlineStr">
        <is>
          <t>COLHER-MAD-38-1_FBA</t>
        </is>
      </c>
      <c r="N5" t="inlineStr">
        <is>
          <t>A</t>
        </is>
      </c>
    </row>
    <row r="6">
      <c r="A6" s="1" t="inlineStr">
        <is>
          <t>B0GXGP9CMF</t>
        </is>
      </c>
      <c r="B6" s="3" t="n">
        <v>0</v>
      </c>
      <c r="C6" s="3" t="n">
        <v>0</v>
      </c>
      <c r="D6" s="3" t="n">
        <v>2</v>
      </c>
      <c r="E6" s="3" t="n">
        <v>0</v>
      </c>
      <c r="F6" s="3" t="n">
        <v>0</v>
      </c>
      <c r="G6" s="3" t="n">
        <v>0</v>
      </c>
      <c r="H6" s="3" t="n">
        <v>2</v>
      </c>
      <c r="I6" s="3" t="n">
        <v>0</v>
      </c>
      <c r="J6">
        <f>IFERROR(VLOOKUP(A6,L:N,3,0),"")</f>
        <v/>
      </c>
      <c r="L6" t="inlineStr">
        <is>
          <t>B0GW1B2W11</t>
        </is>
      </c>
      <c r="M6" t="inlineStr">
        <is>
          <t>ROL_MAS_M_FBA</t>
        </is>
      </c>
      <c r="N6" t="inlineStr">
        <is>
          <t>A</t>
        </is>
      </c>
    </row>
    <row r="7">
      <c r="A7" s="1" t="inlineStr">
        <is>
          <t>B0H1P38Y8Y</t>
        </is>
      </c>
      <c r="B7" s="3" t="n">
        <v>0</v>
      </c>
      <c r="C7" s="3" t="n">
        <v>0</v>
      </c>
      <c r="D7" s="3" t="n">
        <v>4</v>
      </c>
      <c r="E7" s="3" t="n">
        <v>0</v>
      </c>
      <c r="F7" s="3" t="n">
        <v>0</v>
      </c>
      <c r="G7" s="3" t="n">
        <v>0</v>
      </c>
      <c r="H7" s="3" t="n">
        <v>4</v>
      </c>
      <c r="I7" s="3" t="n">
        <v>0</v>
      </c>
      <c r="J7">
        <f>IFERROR(VLOOKUP(A7,L:N,3,0),"")</f>
        <v/>
      </c>
      <c r="L7" t="inlineStr">
        <is>
          <t>B0GW16ZJ3Y</t>
        </is>
      </c>
      <c r="M7" t="inlineStr">
        <is>
          <t>ROL_MAS_P_FBA</t>
        </is>
      </c>
      <c r="N7" t="inlineStr">
        <is>
          <t>A</t>
        </is>
      </c>
    </row>
    <row r="8">
      <c r="A8" s="1" t="inlineStr">
        <is>
          <t>B0H1STZBPJ</t>
        </is>
      </c>
      <c r="B8" s="3" t="n">
        <v>5</v>
      </c>
      <c r="C8" s="3" t="n">
        <v>0</v>
      </c>
      <c r="D8" s="3" t="n">
        <v>0</v>
      </c>
      <c r="E8" s="3" t="n">
        <v>0</v>
      </c>
      <c r="F8" s="3" t="n">
        <v>0</v>
      </c>
      <c r="G8" s="3" t="n">
        <v>0</v>
      </c>
      <c r="H8" s="3" t="n">
        <v>5</v>
      </c>
      <c r="I8" s="3" t="n">
        <v>0</v>
      </c>
      <c r="J8">
        <f>IFERROR(VLOOKUP(A8,L:N,3,0),"")</f>
        <v/>
      </c>
      <c r="L8" t="inlineStr">
        <is>
          <t>B0GW9KS8PV</t>
        </is>
      </c>
      <c r="M8" t="inlineStr">
        <is>
          <t>COLHER-MAD-26-1_FBA</t>
        </is>
      </c>
      <c r="N8" t="inlineStr">
        <is>
          <t>B</t>
        </is>
      </c>
    </row>
    <row r="9">
      <c r="A9" s="1" t="inlineStr">
        <is>
          <t>B0GXGYTZJB</t>
        </is>
      </c>
      <c r="B9" s="3" t="n">
        <v>5</v>
      </c>
      <c r="C9" s="3" t="n">
        <v>0</v>
      </c>
      <c r="D9" s="3" t="n">
        <v>0</v>
      </c>
      <c r="E9" s="3" t="n">
        <v>0</v>
      </c>
      <c r="F9" s="3" t="n">
        <v>0</v>
      </c>
      <c r="G9" s="3" t="n">
        <v>0</v>
      </c>
      <c r="H9" s="3" t="n">
        <v>5</v>
      </c>
      <c r="I9" s="3" t="n">
        <v>0</v>
      </c>
      <c r="J9">
        <f>IFERROR(VLOOKUP(A9,L:N,3,0),"")</f>
        <v/>
      </c>
      <c r="L9" t="inlineStr">
        <is>
          <t>B0H1MXYGWT</t>
        </is>
      </c>
      <c r="M9" t="inlineStr">
        <is>
          <t>COLHER-MAD-26-5_FBA</t>
        </is>
      </c>
      <c r="N9" t="inlineStr">
        <is>
          <t>B</t>
        </is>
      </c>
    </row>
    <row r="10">
      <c r="A10" s="1" t="inlineStr">
        <is>
          <t>B0HHJZ4PHZ</t>
        </is>
      </c>
      <c r="B10" s="3" t="n">
        <v>5</v>
      </c>
      <c r="C10" s="3" t="n">
        <v>0</v>
      </c>
      <c r="D10" s="3" t="n">
        <v>0</v>
      </c>
      <c r="E10" s="3" t="n">
        <v>0</v>
      </c>
      <c r="F10" s="3" t="n">
        <v>0</v>
      </c>
      <c r="G10" s="3" t="n">
        <v>0</v>
      </c>
      <c r="H10" s="3" t="n">
        <v>5</v>
      </c>
      <c r="I10" s="3" t="n">
        <v>0</v>
      </c>
      <c r="J10">
        <f>IFERROR(VLOOKUP(A10,L:N,3,0),"")</f>
        <v/>
      </c>
      <c r="L10" t="inlineStr">
        <is>
          <t>B0H1N3NWC6</t>
        </is>
      </c>
      <c r="M10" s="5" t="inlineStr">
        <is>
          <t>COLHER-MAD-30-5_FBA</t>
        </is>
      </c>
      <c r="N10" t="inlineStr">
        <is>
          <t>B</t>
        </is>
      </c>
    </row>
    <row r="11">
      <c r="A11" s="1" t="inlineStr">
        <is>
          <t>B0HBFCCN6Y</t>
        </is>
      </c>
      <c r="B11" s="3" t="n">
        <v>5</v>
      </c>
      <c r="C11" s="3" t="n">
        <v>0</v>
      </c>
      <c r="D11" s="3" t="n">
        <v>0</v>
      </c>
      <c r="E11" s="3" t="n">
        <v>0</v>
      </c>
      <c r="F11" s="3" t="n">
        <v>0</v>
      </c>
      <c r="G11" s="3" t="n">
        <v>0</v>
      </c>
      <c r="H11" s="3" t="n">
        <v>5</v>
      </c>
      <c r="I11" s="3" t="n">
        <v>0</v>
      </c>
      <c r="J11">
        <f>IFERROR(VLOOKUP(A11,L:N,3,0),"")</f>
        <v/>
      </c>
      <c r="L11" t="inlineStr">
        <is>
          <t>B0H1N71MTD</t>
        </is>
      </c>
      <c r="M11" s="6" t="inlineStr">
        <is>
          <t>COLHER-MAD-38-5_FBA</t>
        </is>
      </c>
      <c r="N11" t="inlineStr">
        <is>
          <t>B</t>
        </is>
      </c>
    </row>
    <row r="12">
      <c r="A12" s="1" t="inlineStr">
        <is>
          <t>B0GXGNPF5N</t>
        </is>
      </c>
      <c r="B12" s="3" t="n">
        <v>6</v>
      </c>
      <c r="C12" s="3" t="n">
        <v>0</v>
      </c>
      <c r="D12" s="3" t="n">
        <v>0</v>
      </c>
      <c r="E12" s="3" t="n">
        <v>0</v>
      </c>
      <c r="F12" s="3" t="n">
        <v>0</v>
      </c>
      <c r="G12" s="3" t="n">
        <v>0</v>
      </c>
      <c r="H12" s="3" t="n">
        <v>6</v>
      </c>
      <c r="I12" s="3" t="n">
        <v>0</v>
      </c>
      <c r="J12">
        <f>IFERROR(VLOOKUP(A12,L:N,3,0),"")</f>
        <v/>
      </c>
      <c r="L12" t="inlineStr">
        <is>
          <t>B0H1MWJ85Q</t>
        </is>
      </c>
      <c r="M12" s="5" t="inlineStr">
        <is>
          <t>KIT_ROL_FBA</t>
        </is>
      </c>
      <c r="N12" t="inlineStr">
        <is>
          <t>B</t>
        </is>
      </c>
    </row>
    <row r="13">
      <c r="A13" s="1" t="inlineStr">
        <is>
          <t>B0H1N9FKZY</t>
        </is>
      </c>
      <c r="B13" s="3" t="n">
        <v>5</v>
      </c>
      <c r="C13" s="3" t="n">
        <v>0</v>
      </c>
      <c r="D13" s="3" t="n">
        <v>4</v>
      </c>
      <c r="E13" s="3" t="n">
        <v>0</v>
      </c>
      <c r="F13" s="3" t="n">
        <v>0</v>
      </c>
      <c r="G13" s="3" t="n">
        <v>0</v>
      </c>
      <c r="H13" s="3" t="n">
        <v>7</v>
      </c>
      <c r="I13" s="3" t="n">
        <v>1</v>
      </c>
      <c r="J13">
        <f>IFERROR(VLOOKUP(A13,L:N,3,0),"")</f>
        <v/>
      </c>
      <c r="L13" t="inlineStr">
        <is>
          <t>B0GXGWGTYT</t>
        </is>
      </c>
      <c r="M13" s="5" t="inlineStr">
        <is>
          <t>MESA_DOB_FBA</t>
        </is>
      </c>
      <c r="N13" t="inlineStr">
        <is>
          <t>B</t>
        </is>
      </c>
    </row>
    <row r="14">
      <c r="A14" s="1" t="inlineStr">
        <is>
          <t>B0GXXRDMS1</t>
        </is>
      </c>
      <c r="B14" s="3" t="n">
        <v>0</v>
      </c>
      <c r="C14" s="3" t="n">
        <v>0</v>
      </c>
      <c r="D14" s="3" t="n">
        <v>7</v>
      </c>
      <c r="E14" s="3" t="n">
        <v>0</v>
      </c>
      <c r="F14" s="3" t="n">
        <v>0</v>
      </c>
      <c r="G14" s="3" t="n">
        <v>0</v>
      </c>
      <c r="H14" s="3" t="n">
        <v>7</v>
      </c>
      <c r="I14" s="3" t="n">
        <v>0</v>
      </c>
      <c r="J14">
        <f>IFERROR(VLOOKUP(A14,L:N,3,0),"")</f>
        <v/>
      </c>
      <c r="L14" t="inlineStr">
        <is>
          <t>B0GXGMPLTS</t>
        </is>
      </c>
      <c r="M14" s="5" t="inlineStr">
        <is>
          <t>PILAO_M_FBA</t>
        </is>
      </c>
      <c r="N14" t="inlineStr">
        <is>
          <t>B</t>
        </is>
      </c>
    </row>
    <row r="15">
      <c r="A15" s="1" t="inlineStr">
        <is>
          <t>B0H1SZBJRR</t>
        </is>
      </c>
      <c r="B15" s="3" t="n">
        <v>5</v>
      </c>
      <c r="C15" s="3" t="n">
        <v>2</v>
      </c>
      <c r="D15" s="3" t="n">
        <v>2</v>
      </c>
      <c r="E15" s="3" t="n">
        <v>0</v>
      </c>
      <c r="F15" s="3" t="n">
        <v>0</v>
      </c>
      <c r="G15" s="3" t="n">
        <v>0</v>
      </c>
      <c r="H15" s="3" t="n">
        <v>9</v>
      </c>
      <c r="I15" s="3" t="n">
        <v>0</v>
      </c>
      <c r="J15">
        <f>IFERROR(VLOOKUP(A15,L:N,3,0),"")</f>
        <v/>
      </c>
      <c r="L15" t="inlineStr">
        <is>
          <t>B0GZCTP3V2</t>
        </is>
      </c>
      <c r="M15" s="5" t="inlineStr">
        <is>
          <t>MEI-TERM-12_FBA</t>
        </is>
      </c>
      <c r="N15" t="inlineStr">
        <is>
          <t>C</t>
        </is>
      </c>
    </row>
    <row r="16">
      <c r="A16" s="1" t="inlineStr">
        <is>
          <t>B0H2WY3HG8</t>
        </is>
      </c>
      <c r="B16" s="3" t="n">
        <v>5</v>
      </c>
      <c r="C16" s="3" t="n">
        <v>0</v>
      </c>
      <c r="D16" s="3" t="n">
        <v>4</v>
      </c>
      <c r="E16" s="3" t="n">
        <v>0</v>
      </c>
      <c r="F16" s="3" t="n">
        <v>0</v>
      </c>
      <c r="G16" s="3" t="n">
        <v>0</v>
      </c>
      <c r="H16" s="3" t="n">
        <v>9</v>
      </c>
      <c r="I16" s="3" t="n">
        <v>0</v>
      </c>
      <c r="J16">
        <f>IFERROR(VLOOKUP(A16,L:N,3,0),"")</f>
        <v/>
      </c>
      <c r="L16" t="inlineStr">
        <is>
          <t>B0GXGZHMMN</t>
        </is>
      </c>
      <c r="M16" t="inlineStr">
        <is>
          <t>PILAO_G_FBA</t>
        </is>
      </c>
      <c r="N16" t="inlineStr">
        <is>
          <t>C</t>
        </is>
      </c>
    </row>
    <row r="17">
      <c r="A17" s="1" t="inlineStr">
        <is>
          <t>B0H1P9YQX7</t>
        </is>
      </c>
      <c r="B17" s="3" t="n">
        <v>5</v>
      </c>
      <c r="C17" s="3" t="n">
        <v>0</v>
      </c>
      <c r="D17" s="3" t="n">
        <v>4</v>
      </c>
      <c r="E17" s="3" t="n">
        <v>0</v>
      </c>
      <c r="F17" s="3" t="n">
        <v>0</v>
      </c>
      <c r="G17" s="3" t="n">
        <v>0</v>
      </c>
      <c r="H17" s="3" t="n">
        <v>9</v>
      </c>
      <c r="I17" s="3" t="n">
        <v>0</v>
      </c>
      <c r="J17">
        <f>IFERROR(VLOOKUP(A17,L:N,3,0),"")</f>
        <v/>
      </c>
      <c r="L17" t="inlineStr">
        <is>
          <t>B0GXGNPF5N</t>
        </is>
      </c>
      <c r="M17" t="inlineStr">
        <is>
          <t>PILAO_P_FBA</t>
        </is>
      </c>
      <c r="N17" t="inlineStr">
        <is>
          <t>C</t>
        </is>
      </c>
    </row>
    <row r="18">
      <c r="A18" s="1" t="inlineStr">
        <is>
          <t>B0H1MWJ85Q</t>
        </is>
      </c>
      <c r="B18" s="3" t="n">
        <v>10</v>
      </c>
      <c r="C18" s="3" t="n">
        <v>0</v>
      </c>
      <c r="D18" s="3" t="n">
        <v>0</v>
      </c>
      <c r="E18" s="3" t="n">
        <v>0</v>
      </c>
      <c r="F18" s="3" t="n">
        <v>0</v>
      </c>
      <c r="G18" s="3" t="n">
        <v>0</v>
      </c>
      <c r="H18" s="3" t="n">
        <v>10</v>
      </c>
      <c r="I18" s="3" t="n">
        <v>0</v>
      </c>
      <c r="J18">
        <f>IFERROR(VLOOKUP(A18,L:N,3,0),"")</f>
        <v/>
      </c>
      <c r="L18" t="inlineStr">
        <is>
          <t>B0GXGPH3Z6</t>
        </is>
      </c>
      <c r="M18" t="inlineStr">
        <is>
          <t>PRATO_M_1_FBA</t>
        </is>
      </c>
      <c r="N18" t="inlineStr">
        <is>
          <t>C</t>
        </is>
      </c>
    </row>
    <row r="19">
      <c r="A19" s="1" t="inlineStr">
        <is>
          <t>B0GXGPH3Z6</t>
        </is>
      </c>
      <c r="B19" s="3" t="n">
        <v>10</v>
      </c>
      <c r="C19" s="3" t="n">
        <v>0</v>
      </c>
      <c r="D19" s="3" t="n">
        <v>0</v>
      </c>
      <c r="E19" s="3" t="n">
        <v>0</v>
      </c>
      <c r="F19" s="3" t="n">
        <v>0</v>
      </c>
      <c r="G19" s="3" t="n">
        <v>0</v>
      </c>
      <c r="H19" s="3" t="n">
        <v>10</v>
      </c>
      <c r="I19" s="3" t="n">
        <v>0</v>
      </c>
      <c r="J19">
        <f>IFERROR(VLOOKUP(A19,L:N,3,0),"")</f>
        <v/>
      </c>
      <c r="L19" t="inlineStr">
        <is>
          <t>B0H1N9FKZY</t>
        </is>
      </c>
      <c r="M19" t="inlineStr">
        <is>
          <t>TAB_COR_G_2_FBA</t>
        </is>
      </c>
      <c r="N19" t="inlineStr">
        <is>
          <t>C</t>
        </is>
      </c>
    </row>
    <row r="20">
      <c r="A20" s="1" t="inlineStr">
        <is>
          <t>B0GW16ZJ3Y</t>
        </is>
      </c>
      <c r="B20" s="3" t="n">
        <v>13</v>
      </c>
      <c r="C20" s="3" t="n">
        <v>0</v>
      </c>
      <c r="D20" s="3" t="n">
        <v>0</v>
      </c>
      <c r="E20" s="3" t="n">
        <v>0</v>
      </c>
      <c r="F20" s="3" t="n">
        <v>0</v>
      </c>
      <c r="G20" s="3" t="n">
        <v>0</v>
      </c>
      <c r="H20" s="3" t="n">
        <v>12</v>
      </c>
      <c r="I20" s="3" t="n">
        <v>9</v>
      </c>
      <c r="J20">
        <f>IFERROR(VLOOKUP(A20,L:N,3,0),"")</f>
        <v/>
      </c>
      <c r="L20" t="inlineStr">
        <is>
          <t>B0GXGTRJWC</t>
        </is>
      </c>
      <c r="M20" t="inlineStr">
        <is>
          <t>TAB_COR_M_FBA</t>
        </is>
      </c>
      <c r="N20" t="inlineStr">
        <is>
          <t>C</t>
        </is>
      </c>
    </row>
    <row r="21">
      <c r="A21" s="1" t="inlineStr">
        <is>
          <t>B0H1PGND8W</t>
        </is>
      </c>
      <c r="B21" s="3" t="n">
        <v>10</v>
      </c>
      <c r="C21" s="3" t="n">
        <v>0</v>
      </c>
      <c r="D21" s="3" t="n">
        <v>4</v>
      </c>
      <c r="E21" s="3" t="n">
        <v>0</v>
      </c>
      <c r="F21" s="3" t="n">
        <v>0</v>
      </c>
      <c r="G21" s="3" t="n">
        <v>0</v>
      </c>
      <c r="H21" s="3" t="n">
        <v>14</v>
      </c>
      <c r="I21" s="3" t="n">
        <v>0</v>
      </c>
      <c r="J21">
        <f>IFERROR(VLOOKUP(A21,L:N,3,0),"")</f>
        <v/>
      </c>
      <c r="L21" t="inlineStr">
        <is>
          <t>B0H1PGND8W</t>
        </is>
      </c>
      <c r="M21" t="inlineStr">
        <is>
          <t>KIT_TAB_COR_1_FBA</t>
        </is>
      </c>
    </row>
    <row r="22">
      <c r="A22" s="1" t="inlineStr">
        <is>
          <t>B0GXH1JX31</t>
        </is>
      </c>
      <c r="B22" s="3" t="n">
        <v>20</v>
      </c>
      <c r="C22" s="3" t="n">
        <v>0</v>
      </c>
      <c r="D22" s="3" t="n">
        <v>0</v>
      </c>
      <c r="E22" s="3" t="n">
        <v>0</v>
      </c>
      <c r="F22" s="3" t="n">
        <v>0</v>
      </c>
      <c r="G22" s="3" t="n">
        <v>0</v>
      </c>
      <c r="H22" s="3" t="n">
        <v>20</v>
      </c>
      <c r="I22" s="3" t="n">
        <v>0</v>
      </c>
      <c r="J22">
        <f>IFERROR(VLOOKUP(A22,L:N,3,0),"")</f>
        <v/>
      </c>
      <c r="L22" t="inlineStr">
        <is>
          <t>B0H1STZBPJ</t>
        </is>
      </c>
      <c r="M22" t="inlineStr">
        <is>
          <t>PILAO_G_2_FBA</t>
        </is>
      </c>
    </row>
    <row r="23">
      <c r="A23" s="1" t="inlineStr">
        <is>
          <t>B0GXGKJR1D</t>
        </is>
      </c>
      <c r="B23" s="3" t="n">
        <v>20</v>
      </c>
      <c r="C23" s="3" t="n">
        <v>0</v>
      </c>
      <c r="D23" s="3" t="n">
        <v>0</v>
      </c>
      <c r="E23" s="3" t="n">
        <v>0</v>
      </c>
      <c r="F23" s="3" t="n">
        <v>0</v>
      </c>
      <c r="G23" s="3" t="n">
        <v>0</v>
      </c>
      <c r="H23" s="3" t="n">
        <v>20</v>
      </c>
      <c r="I23" s="3" t="n">
        <v>0</v>
      </c>
      <c r="J23">
        <f>IFERROR(VLOOKUP(A23,L:N,3,0),"")</f>
        <v/>
      </c>
      <c r="L23" t="inlineStr">
        <is>
          <t>B0H1SZBJRR</t>
        </is>
      </c>
      <c r="M23" t="inlineStr">
        <is>
          <t>PILAO_M_2_FBA</t>
        </is>
      </c>
    </row>
    <row r="24">
      <c r="A24" s="1" t="inlineStr">
        <is>
          <t>B0GXGTRJWC</t>
        </is>
      </c>
      <c r="B24" s="3" t="n">
        <v>5</v>
      </c>
      <c r="C24" s="3" t="n">
        <v>31</v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35</v>
      </c>
      <c r="I24" s="3" t="n">
        <v>2</v>
      </c>
      <c r="J24">
        <f>IFERROR(VLOOKUP(A24,L:N,3,0),"")</f>
        <v/>
      </c>
      <c r="L24" t="inlineStr">
        <is>
          <t>B0H2WY3HG8</t>
        </is>
      </c>
      <c r="M24" t="inlineStr">
        <is>
          <t>PILAO_P_2_FBA</t>
        </is>
      </c>
    </row>
    <row r="25">
      <c r="A25" s="1" t="inlineStr">
        <is>
          <t>B0H1N3NWC6</t>
        </is>
      </c>
      <c r="B25" s="3" t="n">
        <v>42</v>
      </c>
      <c r="C25" s="3" t="n">
        <v>0</v>
      </c>
      <c r="D25" s="3" t="n">
        <v>0</v>
      </c>
      <c r="E25" s="3" t="n">
        <v>0</v>
      </c>
      <c r="F25" s="3" t="n">
        <v>0</v>
      </c>
      <c r="G25" s="3" t="n">
        <v>0</v>
      </c>
      <c r="H25" s="3" t="n">
        <v>37</v>
      </c>
      <c r="I25" s="3" t="n">
        <v>7</v>
      </c>
      <c r="J25">
        <f>IFERROR(VLOOKUP(A25,L:N,3,0),"")</f>
        <v/>
      </c>
      <c r="L25" t="inlineStr">
        <is>
          <t>B0GXGP9CMF</t>
        </is>
      </c>
      <c r="M25" t="inlineStr">
        <is>
          <t>PRATO_G_1_FBA</t>
        </is>
      </c>
    </row>
    <row r="26">
      <c r="A26" s="1" t="inlineStr">
        <is>
          <t>B0GW9K8BFW</t>
        </is>
      </c>
      <c r="B26" s="3" t="n">
        <v>43</v>
      </c>
      <c r="C26" s="3" t="n">
        <v>0</v>
      </c>
      <c r="D26" s="3" t="n">
        <v>0</v>
      </c>
      <c r="E26" s="3" t="n">
        <v>0</v>
      </c>
      <c r="F26" s="3" t="n">
        <v>0</v>
      </c>
      <c r="G26" s="3" t="n">
        <v>0</v>
      </c>
      <c r="H26" s="3" t="n">
        <v>40</v>
      </c>
      <c r="I26" s="3" t="n">
        <v>12</v>
      </c>
      <c r="J26">
        <f>IFERROR(VLOOKUP(A26,L:N,3,0),"")</f>
        <v/>
      </c>
      <c r="L26" t="inlineStr">
        <is>
          <t>B0GXH1JX31</t>
        </is>
      </c>
      <c r="M26" t="inlineStr">
        <is>
          <t>PRATO_P_1_FBA</t>
        </is>
      </c>
    </row>
    <row r="27">
      <c r="A27" s="1" t="inlineStr">
        <is>
          <t>B0H1MXYGWT</t>
        </is>
      </c>
      <c r="B27" s="3" t="n">
        <v>46</v>
      </c>
      <c r="C27" s="3" t="n">
        <v>0</v>
      </c>
      <c r="D27" s="3" t="n">
        <v>0</v>
      </c>
      <c r="E27" s="3" t="n">
        <v>0</v>
      </c>
      <c r="F27" s="3" t="n">
        <v>0</v>
      </c>
      <c r="G27" s="3" t="n">
        <v>0</v>
      </c>
      <c r="H27" s="3" t="n">
        <v>42</v>
      </c>
      <c r="I27" s="3" t="n">
        <v>2</v>
      </c>
      <c r="J27">
        <f>IFERROR(VLOOKUP(A27,L:N,3,0),"")</f>
        <v/>
      </c>
      <c r="L27" t="inlineStr">
        <is>
          <t>B0GXGYTZJB</t>
        </is>
      </c>
      <c r="M27" t="inlineStr">
        <is>
          <t>TAB_COR_G_FBA</t>
        </is>
      </c>
    </row>
    <row r="28">
      <c r="A28" s="1" t="inlineStr">
        <is>
          <t>B0GXGWGTYT</t>
        </is>
      </c>
      <c r="B28" s="3" t="n">
        <v>0</v>
      </c>
      <c r="C28" s="3" t="n">
        <v>42</v>
      </c>
      <c r="D28" s="3" t="n">
        <v>0</v>
      </c>
      <c r="E28" s="3" t="n">
        <v>0</v>
      </c>
      <c r="F28" s="3" t="n">
        <v>0</v>
      </c>
      <c r="G28" s="3" t="n">
        <v>0</v>
      </c>
      <c r="H28" s="3" t="n">
        <v>42</v>
      </c>
      <c r="I28" s="3" t="n">
        <v>1</v>
      </c>
      <c r="J28">
        <f>IFERROR(VLOOKUP(A28,L:N,3,0),"")</f>
        <v/>
      </c>
      <c r="L28" t="inlineStr">
        <is>
          <t>B0H1P9YQX7</t>
        </is>
      </c>
      <c r="M28" t="inlineStr">
        <is>
          <t>TAB_COR_M_2_FBA</t>
        </is>
      </c>
    </row>
    <row r="29">
      <c r="A29" s="1" t="inlineStr">
        <is>
          <t>B0H1N71MTD</t>
        </is>
      </c>
      <c r="B29" s="3" t="n">
        <v>47</v>
      </c>
      <c r="C29" s="3" t="n">
        <v>0</v>
      </c>
      <c r="D29" s="3" t="n">
        <v>0</v>
      </c>
      <c r="E29" s="3" t="n">
        <v>0</v>
      </c>
      <c r="F29" s="3" t="n">
        <v>0</v>
      </c>
      <c r="G29" s="3" t="n">
        <v>0</v>
      </c>
      <c r="H29" s="3" t="n">
        <v>47</v>
      </c>
      <c r="I29" s="3" t="n">
        <v>1</v>
      </c>
      <c r="J29">
        <f>IFERROR(VLOOKUP(A29,L:N,3,0),"")</f>
        <v/>
      </c>
      <c r="L29" t="inlineStr">
        <is>
          <t>B0H1P38Y8Y</t>
        </is>
      </c>
      <c r="M29" t="inlineStr">
        <is>
          <t>TAB_COR_P_2_FBA</t>
        </is>
      </c>
    </row>
    <row r="30">
      <c r="A30" s="1" t="inlineStr">
        <is>
          <t>B0GV5M89QB</t>
        </is>
      </c>
      <c r="B30" s="3" t="n">
        <v>88</v>
      </c>
      <c r="C30" s="3" t="n">
        <v>0</v>
      </c>
      <c r="D30" s="3" t="n">
        <v>0</v>
      </c>
      <c r="E30" s="3" t="n">
        <v>0</v>
      </c>
      <c r="F30" s="3" t="n">
        <v>0</v>
      </c>
      <c r="G30" s="3" t="n">
        <v>0</v>
      </c>
      <c r="H30" s="3" t="n">
        <v>70</v>
      </c>
      <c r="I30" s="3" t="n">
        <v>46</v>
      </c>
      <c r="J30">
        <f>IFERROR(VLOOKUP(A30,L:N,3,0),"")</f>
        <v/>
      </c>
      <c r="L30" t="inlineStr">
        <is>
          <t>B0GXGKJR1D</t>
        </is>
      </c>
      <c r="M30" t="inlineStr">
        <is>
          <t>TAB_COR_P_FBA</t>
        </is>
      </c>
    </row>
    <row r="31">
      <c r="A31" s="1" t="inlineStr">
        <is>
          <t>B0GW1B2W11</t>
        </is>
      </c>
      <c r="B31" s="3" t="n">
        <v>75</v>
      </c>
      <c r="C31" s="3" t="n">
        <v>0</v>
      </c>
      <c r="D31" s="3" t="n">
        <v>0</v>
      </c>
      <c r="E31" s="3" t="n">
        <v>0</v>
      </c>
      <c r="F31" s="3" t="n">
        <v>0</v>
      </c>
      <c r="G31" s="3" t="n">
        <v>0</v>
      </c>
      <c r="H31" s="3" t="n">
        <v>74</v>
      </c>
      <c r="I31" s="3" t="n">
        <v>0</v>
      </c>
      <c r="J31">
        <f>IFERROR(VLOOKUP(A31,L:N,3,0),"")</f>
        <v/>
      </c>
      <c r="L31" t="inlineStr">
        <is>
          <t>B0GXXRDMS1</t>
        </is>
      </c>
      <c r="M31" t="inlineStr">
        <is>
          <t>TOA_BAN_DOU_FBA</t>
        </is>
      </c>
    </row>
    <row r="32">
      <c r="A32" s="1" t="inlineStr">
        <is>
          <t>B0GW9KS8PV</t>
        </is>
      </c>
      <c r="B32" s="3" t="n">
        <v>0</v>
      </c>
      <c r="C32" s="3" t="n">
        <v>93</v>
      </c>
      <c r="D32" s="3" t="n">
        <v>0</v>
      </c>
      <c r="E32" s="3" t="n">
        <v>0</v>
      </c>
      <c r="F32" s="3" t="n">
        <v>0</v>
      </c>
      <c r="G32" s="3" t="n">
        <v>0</v>
      </c>
      <c r="H32" s="3" t="n">
        <v>76</v>
      </c>
      <c r="I32" s="3" t="n">
        <v>1</v>
      </c>
      <c r="J32">
        <f>IFERROR(VLOOKUP(A32,L:N,3,0),"")</f>
        <v/>
      </c>
      <c r="L32" t="inlineStr">
        <is>
          <t>B0HHJZ4PHZ</t>
        </is>
      </c>
      <c r="M32" t="inlineStr">
        <is>
          <t>TOA_BAN_ROS_2_FBA</t>
        </is>
      </c>
    </row>
    <row r="33">
      <c r="A33" s="1" t="inlineStr">
        <is>
          <t>B0GZCTP3V2</t>
        </is>
      </c>
      <c r="B33" s="3" t="n">
        <v>50</v>
      </c>
      <c r="C33" s="3" t="n">
        <v>48</v>
      </c>
      <c r="D33" s="3" t="n">
        <v>0</v>
      </c>
      <c r="E33" s="3" t="n">
        <v>0</v>
      </c>
      <c r="F33" s="3" t="n">
        <v>0</v>
      </c>
      <c r="G33" s="3" t="n">
        <v>0</v>
      </c>
      <c r="H33" s="3" t="n">
        <v>81</v>
      </c>
      <c r="I33" s="3" t="n">
        <v>1</v>
      </c>
      <c r="J33">
        <f>IFERROR(VLOOKUP(A33,L:N,3,0),"")</f>
        <v/>
      </c>
      <c r="L33" t="inlineStr">
        <is>
          <t>B0HBFCCN6Y</t>
        </is>
      </c>
      <c r="M33" t="inlineStr">
        <is>
          <t>TOA_COLORE_1_FBA</t>
        </is>
      </c>
    </row>
    <row r="34">
      <c r="L34" t="inlineStr">
        <is>
          <t>B0HHJZF6HR</t>
        </is>
      </c>
      <c r="M34" t="inlineStr">
        <is>
          <t>TOA_RUBI_2_FBA</t>
        </is>
      </c>
    </row>
    <row r="35"/>
    <row r="36"/>
    <row r="37"/>
    <row r="38"/>
    <row r="39"/>
  </sheetData>
  <autoFilter ref="A2:I2">
    <sortState ref="A3:I33">
      <sortCondition ref="H2"/>
    </sortState>
  </autoFilter>
  <pageMargins left="0.511811024" right="0.511811024" top="0.787401575" bottom="0.787401575" header="0.31496062" footer="0.31496062"/>
  <pageSetup orientation="portrait" paperSize="256" horizontalDpi="0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Alexander Santos</dc:creator>
  <dcterms:created xsi:type="dcterms:W3CDTF">2026-10-01T14:10:39Z</dcterms:created>
  <dcterms:modified xsi:type="dcterms:W3CDTF">2026-10-02T12:16:40Z</dcterms:modified>
  <cp:lastModifiedBy>Alexander Santos</cp:lastModifiedBy>
</cp:coreProperties>
</file>